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API要件" sheetId="2" state="visible" r:id="rId4"/>
    <sheet name="エンドポイント案" sheetId="3" state="visible" r:id="rId5"/>
    <sheet name="レスポンス項目案" sheetId="4" state="visible" r:id="rId6"/>
    <sheet name="確認事項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<sst xmlns="http://schemas.openxmlformats.org/spreadsheetml/2006/main" count="348" uniqueCount="238">
  <si>
    <r>
      <rPr>
        <b val="true"/>
        <sz val="14"/>
        <color rgb="FF12324A"/>
        <rFont val="Arial"/>
        <family val="0"/>
        <charset val="1"/>
      </rPr>
      <t xml:space="preserve">Dolphin </t>
    </r>
    <r>
      <rPr>
        <b val="true"/>
        <sz val="14"/>
        <color rgb="FF12324A"/>
        <rFont val="Noto Sans CJK SC"/>
        <family val="2"/>
      </rPr>
      <t xml:space="preserve">マーケットレポート </t>
    </r>
    <r>
      <rPr>
        <b val="true"/>
        <sz val="14"/>
        <color rgb="FF12324A"/>
        <rFont val="Arial"/>
        <family val="0"/>
        <charset val="1"/>
      </rPr>
      <t xml:space="preserve">API</t>
    </r>
    <r>
      <rPr>
        <b val="true"/>
        <sz val="14"/>
        <color rgb="FF12324A"/>
        <rFont val="Noto Sans CJK SC"/>
        <family val="2"/>
      </rPr>
      <t xml:space="preserve">連携 要件表</t>
    </r>
  </si>
  <si>
    <r>
      <rPr>
        <sz val="10"/>
        <color rgb="FF4F6879"/>
        <rFont val="Arial"/>
        <family val="0"/>
        <charset val="1"/>
      </rPr>
      <t xml:space="preserve">Dolphin CREATE </t>
    </r>
    <r>
      <rPr>
        <sz val="10"/>
        <color rgb="FF4F6879"/>
        <rFont val="Noto Sans CJK SC"/>
        <family val="2"/>
      </rPr>
      <t xml:space="preserve">と </t>
    </r>
    <r>
      <rPr>
        <sz val="10"/>
        <color rgb="FF4F6879"/>
        <rFont val="Arial"/>
        <family val="0"/>
        <charset val="1"/>
      </rPr>
      <t xml:space="preserve">Dolphin </t>
    </r>
    <r>
      <rPr>
        <sz val="10"/>
        <color rgb="FF4F6879"/>
        <rFont val="Noto Sans CJK SC"/>
        <family val="2"/>
      </rPr>
      <t xml:space="preserve">のマーケットレポート連携について、</t>
    </r>
    <r>
      <rPr>
        <sz val="10"/>
        <color rgb="FF4F6879"/>
        <rFont val="Arial"/>
        <family val="0"/>
        <charset val="1"/>
      </rPr>
      <t xml:space="preserve">Dolphin</t>
    </r>
    <r>
      <rPr>
        <sz val="10"/>
        <color rgb="FF4F6879"/>
        <rFont val="Noto Sans CJK SC"/>
        <family val="2"/>
      </rPr>
      <t xml:space="preserve">開発チームと決める項目の一覧（</t>
    </r>
    <r>
      <rPr>
        <sz val="10"/>
        <color rgb="FF4F6879"/>
        <rFont val="Arial"/>
        <family val="0"/>
        <charset val="1"/>
      </rPr>
      <t xml:space="preserve">2026/10/06 </t>
    </r>
    <r>
      <rPr>
        <sz val="10"/>
        <color rgb="FF4F6879"/>
        <rFont val="Noto Sans CJK SC"/>
        <family val="2"/>
      </rPr>
      <t xml:space="preserve">作成・案）</t>
    </r>
  </si>
  <si>
    <t xml:space="preserve">目的</t>
  </si>
  <si>
    <r>
      <rPr>
        <sz val="10"/>
        <rFont val="Arial"/>
        <family val="0"/>
        <charset val="1"/>
      </rPr>
      <t xml:space="preserve">Dolphin </t>
    </r>
    <r>
      <rPr>
        <sz val="10"/>
        <rFont val="Noto Sans CJK SC"/>
        <family val="2"/>
      </rPr>
      <t xml:space="preserve">のマーケットレポートを施設ごとに </t>
    </r>
    <r>
      <rPr>
        <sz val="10"/>
        <rFont val="Arial"/>
        <family val="0"/>
        <charset val="1"/>
      </rPr>
      <t xml:space="preserve">Dolphin CREATE </t>
    </r>
    <r>
      <rPr>
        <sz val="10"/>
        <rFont val="Noto Sans CJK SC"/>
        <family val="2"/>
      </rPr>
      <t xml:space="preserve">のサーバーが自動取得し、②分析・③広告クリエイティブ・④レポートで使えるようにする。</t>
    </r>
  </si>
  <si>
    <t xml:space="preserve">接続の形</t>
  </si>
  <si>
    <r>
      <rPr>
        <sz val="10"/>
        <rFont val="Arial"/>
        <family val="0"/>
        <charset val="1"/>
      </rPr>
      <t xml:space="preserve">Dolphin CREATE </t>
    </r>
    <r>
      <rPr>
        <sz val="10"/>
        <rFont val="Noto Sans CJK SC"/>
        <family val="2"/>
      </rPr>
      <t xml:space="preserve">のサーバー → </t>
    </r>
    <r>
      <rPr>
        <sz val="10"/>
        <rFont val="Arial"/>
        <family val="0"/>
        <charset val="1"/>
      </rPr>
      <t xml:space="preserve">Dolphin API</t>
    </r>
    <r>
      <rPr>
        <sz val="10"/>
        <rFont val="Noto Sans CJK SC"/>
        <family val="2"/>
      </rPr>
      <t xml:space="preserve">（サーバー間のみ）。ブラウザから直接は接続しない。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キーは画面に出さない。</t>
    </r>
  </si>
  <si>
    <t xml:space="preserve">前提</t>
  </si>
  <si>
    <r>
      <rPr>
        <sz val="10"/>
        <rFont val="Noto Sans CJK SC"/>
        <family val="2"/>
      </rPr>
      <t xml:space="preserve">試作版（現在のページ）は外部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に直接接続できないため、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連携は本番環境で行う。それまでは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の取込で同じ形式を確認する。</t>
    </r>
  </si>
  <si>
    <t xml:space="preserve">記入のしかた</t>
  </si>
  <si>
    <r>
      <rPr>
        <sz val="10"/>
        <rFont val="Noto Sans CJK SC"/>
        <family val="2"/>
      </rPr>
      <t xml:space="preserve">黄色のセル＝</t>
    </r>
    <r>
      <rPr>
        <sz val="10"/>
        <rFont val="Arial"/>
        <family val="0"/>
        <charset val="1"/>
      </rPr>
      <t xml:space="preserve">Dolphin</t>
    </r>
    <r>
      <rPr>
        <sz val="10"/>
        <rFont val="Noto Sans CJK SC"/>
        <family val="2"/>
      </rPr>
      <t xml:space="preserve">開発チーム・担当者が記入する欄</t>
    </r>
  </si>
  <si>
    <t xml:space="preserve">「状態」はプルダウン（未確認／確認中／決定／対象外）から選ぶ</t>
  </si>
  <si>
    <t xml:space="preserve">進め方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</si>
  <si>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「確認事項」シートの </t>
    </r>
    <r>
      <rPr>
        <sz val="10"/>
        <rFont val="Arial"/>
        <family val="0"/>
        <charset val="1"/>
      </rPr>
      <t xml:space="preserve">No.1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の有無・書き出し形式・利用条件・レポート項目）を </t>
    </r>
    <r>
      <rPr>
        <sz val="10"/>
        <rFont val="Arial"/>
        <family val="0"/>
        <charset val="1"/>
      </rPr>
      <t xml:space="preserve">Dolphin </t>
    </r>
    <r>
      <rPr>
        <sz val="10"/>
        <rFont val="Noto Sans CJK SC"/>
        <family val="2"/>
      </rPr>
      <t xml:space="preserve">開発チームに確認する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</si>
  <si>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「レスポンス項目案」をもとに、レポートに入る項目を確定する（項目名・型・単位）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</si>
  <si>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確定した形式のサンプル（</t>
    </r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か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件）を </t>
    </r>
    <r>
      <rPr>
        <sz val="10"/>
        <rFont val="Arial"/>
        <family val="0"/>
        <charset val="1"/>
      </rPr>
      <t xml:space="preserve">Dolphin CREATE </t>
    </r>
    <r>
      <rPr>
        <sz val="10"/>
        <rFont val="Noto Sans CJK SC"/>
        <family val="2"/>
      </rPr>
      <t xml:space="preserve">側に共有し、試作版の取込画面で使い方を確認する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</si>
  <si>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要件」「エンドポイント案」を確定し、テスト環境で接続を確認する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</si>
  <si>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本番環境で施設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つから自動取得を始め、問題がなければ施設を増やす</t>
    </r>
  </si>
  <si>
    <t xml:space="preserve">進捗（自動集計）</t>
  </si>
  <si>
    <t xml:space="preserve">シート</t>
  </si>
  <si>
    <t xml:space="preserve">決定</t>
  </si>
  <si>
    <t xml:space="preserve">確認中</t>
  </si>
  <si>
    <t xml:space="preserve">未確認</t>
  </si>
  <si>
    <t xml:space="preserve">対象外</t>
  </si>
  <si>
    <t xml:space="preserve">合計</t>
  </si>
  <si>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要件</t>
    </r>
  </si>
  <si>
    <t xml:space="preserve">確認事項</t>
  </si>
  <si>
    <r>
      <rPr>
        <b val="true"/>
        <sz val="14"/>
        <color rgb="FF12324A"/>
        <rFont val="Arial"/>
        <family val="0"/>
        <charset val="1"/>
      </rPr>
      <t xml:space="preserve">API</t>
    </r>
    <r>
      <rPr>
        <b val="true"/>
        <sz val="14"/>
        <color rgb="FF12324A"/>
        <rFont val="Noto Sans CJK SC"/>
        <family val="2"/>
      </rPr>
      <t xml:space="preserve">要件</t>
    </r>
  </si>
  <si>
    <r>
      <rPr>
        <sz val="10"/>
        <color rgb="FF4F6879"/>
        <rFont val="Arial"/>
        <family val="0"/>
        <charset val="1"/>
      </rPr>
      <t xml:space="preserve">Dolphin </t>
    </r>
    <r>
      <rPr>
        <sz val="10"/>
        <color rgb="FF4F6879"/>
        <rFont val="Noto Sans CJK SC"/>
        <family val="2"/>
      </rPr>
      <t xml:space="preserve">のマーケットレポートを取得する</t>
    </r>
    <r>
      <rPr>
        <sz val="10"/>
        <color rgb="FF4F6879"/>
        <rFont val="Arial"/>
        <family val="0"/>
        <charset val="1"/>
      </rPr>
      <t xml:space="preserve">API</t>
    </r>
    <r>
      <rPr>
        <sz val="10"/>
        <color rgb="FF4F6879"/>
        <rFont val="Noto Sans CJK SC"/>
        <family val="2"/>
      </rPr>
      <t xml:space="preserve">に求める条件（案）。黄色の欄に </t>
    </r>
    <r>
      <rPr>
        <sz val="10"/>
        <color rgb="FF4F6879"/>
        <rFont val="Arial"/>
        <family val="0"/>
        <charset val="1"/>
      </rPr>
      <t xml:space="preserve">Dolphin </t>
    </r>
    <r>
      <rPr>
        <sz val="10"/>
        <color rgb="FF4F6879"/>
        <rFont val="Noto Sans CJK SC"/>
        <family val="2"/>
      </rPr>
      <t xml:space="preserve">側の回答を記入してください。</t>
    </r>
  </si>
  <si>
    <t xml:space="preserve">No.</t>
  </si>
  <si>
    <t xml:space="preserve">区分</t>
  </si>
  <si>
    <t xml:space="preserve">項目</t>
  </si>
  <si>
    <t xml:space="preserve">求める内容（案）</t>
  </si>
  <si>
    <t xml:space="preserve">必須／推奨</t>
  </si>
  <si>
    <t xml:space="preserve">例</t>
  </si>
  <si>
    <r>
      <rPr>
        <b val="true"/>
        <sz val="10"/>
        <color rgb="FFFFFFFF"/>
        <rFont val="Arial"/>
        <family val="0"/>
        <charset val="1"/>
      </rPr>
      <t xml:space="preserve">Dolphin</t>
    </r>
    <r>
      <rPr>
        <b val="true"/>
        <sz val="10"/>
        <color rgb="FFFFFFFF"/>
        <rFont val="Noto Sans CJK SC"/>
        <family val="2"/>
      </rPr>
      <t xml:space="preserve">側の回答</t>
    </r>
  </si>
  <si>
    <t xml:space="preserve">状態</t>
  </si>
  <si>
    <t xml:space="preserve">メモ</t>
  </si>
  <si>
    <t xml:space="preserve">取得の単位</t>
  </si>
  <si>
    <t xml:space="preserve">施設の指定</t>
  </si>
  <si>
    <r>
      <rPr>
        <sz val="10"/>
        <rFont val="Noto Sans CJK SC"/>
        <family val="2"/>
      </rPr>
      <t xml:space="preserve">施設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ごとにレポートを取得できる。他施設のレポートは返さない</t>
    </r>
  </si>
  <si>
    <t xml:space="preserve">必須</t>
  </si>
  <si>
    <t xml:space="preserve">facility_id=fac_A</t>
  </si>
  <si>
    <t xml:space="preserve">期間の指定</t>
  </si>
  <si>
    <t xml:space="preserve">対象期間（年月）を指定して取得できる。最新版も取得できる</t>
  </si>
  <si>
    <t xml:space="preserve">period=2026-09</t>
  </si>
  <si>
    <t xml:space="preserve">一覧の取得</t>
  </si>
  <si>
    <r>
      <rPr>
        <sz val="10"/>
        <rFont val="Noto Sans CJK SC"/>
        <family val="2"/>
      </rPr>
      <t xml:space="preserve">施設ごとのレポート一覧（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・期間・作成日時・版）を取得できる</t>
    </r>
  </si>
  <si>
    <t xml:space="preserve">GET /v1/facilities/fac_A/market-reports</t>
  </si>
  <si>
    <t xml:space="preserve">認証</t>
  </si>
  <si>
    <t xml:space="preserve">認証方式</t>
  </si>
  <si>
    <r>
      <rPr>
        <sz val="10"/>
        <rFont val="Noto Sans CJK SC"/>
        <family val="2"/>
      </rPr>
      <t xml:space="preserve">施設ごとの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キー、または</t>
    </r>
    <r>
      <rPr>
        <sz val="10"/>
        <rFont val="Arial"/>
        <family val="0"/>
        <charset val="1"/>
      </rPr>
      <t xml:space="preserve">OAuth 2.0</t>
    </r>
    <r>
      <rPr>
        <sz val="10"/>
        <rFont val="Noto Sans CJK SC"/>
        <family val="2"/>
      </rPr>
      <t xml:space="preserve">（クライアント認証）。サーバー間通信のみ</t>
    </r>
  </si>
  <si>
    <t xml:space="preserve">Authorization: Bearer &lt;token&gt;</t>
  </si>
  <si>
    <t xml:space="preserve">キーの管理</t>
  </si>
  <si>
    <t xml:space="preserve">キーの発行・失効・再発行ができる。有効期限がある</t>
  </si>
  <si>
    <r>
      <rPr>
        <sz val="10"/>
        <rFont val="Noto Sans CJK SC"/>
        <family val="2"/>
      </rPr>
      <t xml:space="preserve">有効期限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日</t>
    </r>
  </si>
  <si>
    <t xml:space="preserve">通信</t>
  </si>
  <si>
    <r>
      <rPr>
        <sz val="10"/>
        <rFont val="Arial"/>
        <family val="0"/>
        <charset val="1"/>
      </rPr>
      <t xml:space="preserve">HTTPS</t>
    </r>
    <r>
      <rPr>
        <sz val="10"/>
        <rFont val="Noto Sans CJK SC"/>
        <family val="2"/>
      </rPr>
      <t xml:space="preserve">のみ。必要なら接続元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の制限</t>
    </r>
  </si>
  <si>
    <r>
      <rPr>
        <sz val="10"/>
        <rFont val="Arial"/>
        <family val="0"/>
        <charset val="1"/>
      </rPr>
      <t xml:space="preserve">TLS 1.2</t>
    </r>
    <r>
      <rPr>
        <sz val="10"/>
        <rFont val="Noto Sans CJK SC"/>
        <family val="2"/>
      </rPr>
      <t xml:space="preserve">以上</t>
    </r>
  </si>
  <si>
    <t xml:space="preserve">形式</t>
  </si>
  <si>
    <t xml:space="preserve">データ形式</t>
  </si>
  <si>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UTF-8</t>
    </r>
    <r>
      <rPr>
        <sz val="10"/>
        <rFont val="Noto Sans CJK SC"/>
        <family val="2"/>
      </rPr>
      <t xml:space="preserve">）。項目名は英数字で固定</t>
    </r>
  </si>
  <si>
    <t xml:space="preserve">{"report_id":"MR-202609-001",...}</t>
  </si>
  <si>
    <t xml:space="preserve">数値の表し方</t>
  </si>
  <si>
    <r>
      <rPr>
        <sz val="10"/>
        <rFont val="Noto Sans CJK SC"/>
        <family val="2"/>
      </rPr>
      <t xml:space="preserve">数値は数値型、割合は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、金額は円（税込／税抜を明記）、日時は</t>
    </r>
    <r>
      <rPr>
        <sz val="10"/>
        <rFont val="Arial"/>
        <family val="0"/>
        <charset val="1"/>
      </rPr>
      <t xml:space="preserve">ISO 8601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JST</t>
    </r>
    <r>
      <rPr>
        <sz val="10"/>
        <rFont val="Noto Sans CJK SC"/>
        <family val="2"/>
      </rPr>
      <t xml:space="preserve">）</t>
    </r>
  </si>
  <si>
    <t xml:space="preserve">0.32 / 3500000 / 2026-09-30T10:00:00+09:00</t>
  </si>
  <si>
    <t xml:space="preserve">中身</t>
  </si>
  <si>
    <t xml:space="preserve">レポートの項目</t>
  </si>
  <si>
    <r>
      <rPr>
        <sz val="10"/>
        <rFont val="Noto Sans CJK SC"/>
        <family val="2"/>
      </rPr>
      <t xml:space="preserve">「レスポンス項目案」シートの項目（確定は</t>
    </r>
    <r>
      <rPr>
        <sz val="10"/>
        <rFont val="Arial"/>
        <family val="0"/>
        <charset val="1"/>
      </rPr>
      <t xml:space="preserve">Dolphin</t>
    </r>
    <r>
      <rPr>
        <sz val="10"/>
        <rFont val="Noto Sans CJK SC"/>
        <family val="2"/>
      </rPr>
      <t xml:space="preserve">側と協議）</t>
    </r>
  </si>
  <si>
    <t xml:space="preserve">商圏の挙式組数、価格帯、競合の訴求傾向</t>
  </si>
  <si>
    <t xml:space="preserve">母数と期間</t>
  </si>
  <si>
    <r>
      <rPr>
        <sz val="10"/>
        <rFont val="Noto Sans CJK SC"/>
        <family val="2"/>
      </rPr>
      <t xml:space="preserve">各集計の母数（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）・対象期間・作成日時・版番号を必ず付ける</t>
    </r>
  </si>
  <si>
    <t xml:space="preserve">sample_size=128</t>
  </si>
  <si>
    <t xml:space="preserve">出典</t>
  </si>
  <si>
    <t xml:space="preserve">外部データを含む場合は出典と取得日を付ける</t>
  </si>
  <si>
    <r>
      <rPr>
        <sz val="10"/>
        <rFont val="Arial"/>
        <family val="0"/>
        <charset val="1"/>
      </rPr>
      <t xml:space="preserve">source="</t>
    </r>
    <r>
      <rPr>
        <sz val="10"/>
        <rFont val="Noto Sans CJK SC"/>
        <family val="2"/>
      </rPr>
      <t xml:space="preserve">自社調査 </t>
    </r>
    <r>
      <rPr>
        <sz val="10"/>
        <rFont val="Arial"/>
        <family val="0"/>
        <charset val="1"/>
      </rPr>
      <t xml:space="preserve">2026/09"</t>
    </r>
  </si>
  <si>
    <t xml:space="preserve">個人情報</t>
  </si>
  <si>
    <t xml:space="preserve">氏名・連絡先など個人を特定できる情報を含めない</t>
  </si>
  <si>
    <t xml:space="preserve">—</t>
  </si>
  <si>
    <t xml:space="preserve">更新の通知</t>
  </si>
  <si>
    <t xml:space="preserve">Webhook</t>
  </si>
  <si>
    <r>
      <rPr>
        <sz val="10"/>
        <rFont val="Noto Sans CJK SC"/>
        <family val="2"/>
      </rPr>
      <t xml:space="preserve">新しいレポートができたら </t>
    </r>
    <r>
      <rPr>
        <sz val="10"/>
        <rFont val="Arial"/>
        <family val="0"/>
        <charset val="1"/>
      </rPr>
      <t xml:space="preserve">Dolphin CREATE </t>
    </r>
    <r>
      <rPr>
        <sz val="10"/>
        <rFont val="Noto Sans CJK SC"/>
        <family val="2"/>
      </rPr>
      <t xml:space="preserve">に通知する（署名つき）</t>
    </r>
  </si>
  <si>
    <t xml:space="preserve">推奨</t>
  </si>
  <si>
    <t xml:space="preserve">POST /webhooks/dolphin/market-report</t>
  </si>
  <si>
    <t xml:space="preserve">更新頻度</t>
  </si>
  <si>
    <t xml:space="preserve">レポートの作成・更新の頻度</t>
  </si>
  <si>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回（毎月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日）</t>
    </r>
  </si>
  <si>
    <t xml:space="preserve">運用</t>
  </si>
  <si>
    <t xml:space="preserve">利用回数の上限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</si>
  <si>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分・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日あたりの呼び出し上限</t>
    </r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</si>
  <si>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分</t>
    </r>
  </si>
  <si>
    <t xml:space="preserve">エラー時の応答</t>
  </si>
  <si>
    <r>
      <rPr>
        <sz val="10"/>
        <rFont val="Arial"/>
        <family val="0"/>
        <charset val="1"/>
      </rPr>
      <t xml:space="preserve">HTTP</t>
    </r>
    <r>
      <rPr>
        <sz val="10"/>
        <rFont val="Noto Sans CJK SC"/>
        <family val="2"/>
      </rPr>
      <t xml:space="preserve">ステータスとエラーコード、再試行してよいかを返す</t>
    </r>
  </si>
  <si>
    <t xml:space="preserve">429 Too Many Requests</t>
  </si>
  <si>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の版管理</t>
    </r>
  </si>
  <si>
    <r>
      <rPr>
        <sz val="10"/>
        <rFont val="Arial"/>
        <family val="0"/>
        <charset val="1"/>
      </rPr>
      <t xml:space="preserve">URL</t>
    </r>
    <r>
      <rPr>
        <sz val="10"/>
        <rFont val="Noto Sans CJK SC"/>
        <family val="2"/>
      </rPr>
      <t xml:space="preserve">に版を入れ、変更時は事前に告知する</t>
    </r>
  </si>
  <si>
    <t xml:space="preserve">/v1/ → /v2/</t>
  </si>
  <si>
    <t xml:space="preserve">テスト環境</t>
  </si>
  <si>
    <t xml:space="preserve">本番と同じ形式のテスト環境とテスト用データ</t>
  </si>
  <si>
    <t xml:space="preserve">sandbox.example</t>
  </si>
  <si>
    <t xml:space="preserve">障害時の連絡</t>
  </si>
  <si>
    <t xml:space="preserve">障害・メンテナンスの連絡先と告知方法</t>
  </si>
  <si>
    <t xml:space="preserve">利用条件</t>
  </si>
  <si>
    <t xml:space="preserve">利用範囲</t>
  </si>
  <si>
    <r>
      <rPr>
        <sz val="10"/>
        <rFont val="Noto Sans CJK SC"/>
        <family val="2"/>
      </rPr>
      <t xml:space="preserve">レポートを </t>
    </r>
    <r>
      <rPr>
        <sz val="10"/>
        <rFont val="Arial"/>
        <family val="0"/>
        <charset val="1"/>
      </rPr>
      <t xml:space="preserve">Dolphin CREATE </t>
    </r>
    <r>
      <rPr>
        <sz val="10"/>
        <rFont val="Noto Sans CJK SC"/>
        <family val="2"/>
      </rPr>
      <t xml:space="preserve">で表示・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分析・広告制作の根拠に使ってよい範囲</t>
    </r>
  </si>
  <si>
    <t xml:space="preserve">保存期間</t>
  </si>
  <si>
    <t xml:space="preserve">取得したレポートを保存してよい期間</t>
  </si>
  <si>
    <r>
      <rPr>
        <sz val="10"/>
        <rFont val="Noto Sans CJK SC"/>
        <family val="2"/>
      </rPr>
      <t xml:space="preserve">契約期間中＋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年</t>
    </r>
  </si>
  <si>
    <t xml:space="preserve">エンドポイント案</t>
  </si>
  <si>
    <r>
      <rPr>
        <sz val="10"/>
        <color rgb="FF4F6879"/>
        <rFont val="Arial"/>
        <family val="0"/>
        <charset val="1"/>
      </rPr>
      <t xml:space="preserve">URL</t>
    </r>
    <r>
      <rPr>
        <sz val="10"/>
        <color rgb="FF4F6879"/>
        <rFont val="Noto Sans CJK SC"/>
        <family val="2"/>
      </rPr>
      <t xml:space="preserve">・パラメータは案です。</t>
    </r>
    <r>
      <rPr>
        <sz val="10"/>
        <color rgb="FF4F6879"/>
        <rFont val="Arial"/>
        <family val="0"/>
        <charset val="1"/>
      </rPr>
      <t xml:space="preserve">Dolphin</t>
    </r>
    <r>
      <rPr>
        <sz val="10"/>
        <color rgb="FF4F6879"/>
        <rFont val="Noto Sans CJK SC"/>
        <family val="2"/>
      </rPr>
      <t xml:space="preserve">側の命名規則に合わせて変更してください。</t>
    </r>
  </si>
  <si>
    <t xml:space="preserve">方向</t>
  </si>
  <si>
    <t xml:space="preserve">メソッド</t>
  </si>
  <si>
    <t xml:space="preserve">パス（案）</t>
  </si>
  <si>
    <t xml:space="preserve">説明</t>
  </si>
  <si>
    <t xml:space="preserve">主なパラメータ</t>
  </si>
  <si>
    <t xml:space="preserve">返す内容</t>
  </si>
  <si>
    <t xml:space="preserve">Dolphin CREATE → Dolphin</t>
  </si>
  <si>
    <t xml:space="preserve">GET</t>
  </si>
  <si>
    <t xml:space="preserve">/v1/facilities</t>
  </si>
  <si>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キーで取得できる施設の一覧</t>
    </r>
  </si>
  <si>
    <r>
      <rPr>
        <sz val="10"/>
        <rFont val="Arial"/>
        <family val="0"/>
        <charset val="1"/>
      </rPr>
      <t xml:space="preserve">facility_id</t>
    </r>
    <r>
      <rPr>
        <sz val="10"/>
        <rFont val="Noto Sans CJK SC"/>
        <family val="2"/>
      </rPr>
      <t xml:space="preserve">、施設名</t>
    </r>
  </si>
  <si>
    <t xml:space="preserve">/v1/facilities/{facility_id}/market-reports</t>
  </si>
  <si>
    <t xml:space="preserve">施設のレポート一覧</t>
  </si>
  <si>
    <r>
      <rPr>
        <sz val="10"/>
        <rFont val="Arial"/>
        <family val="0"/>
        <charset val="1"/>
      </rPr>
      <t xml:space="preserve">period_from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period_to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updated_since</t>
    </r>
  </si>
  <si>
    <r>
      <rPr>
        <sz val="10"/>
        <rFont val="Arial"/>
        <family val="0"/>
        <charset val="1"/>
      </rPr>
      <t xml:space="preserve">report_id</t>
    </r>
    <r>
      <rPr>
        <sz val="10"/>
        <rFont val="Noto Sans CJK SC"/>
        <family val="2"/>
      </rPr>
      <t xml:space="preserve">、期間、作成日時、版</t>
    </r>
  </si>
  <si>
    <t xml:space="preserve">/v1/facilities/{facility_id}/market-reports/{report_id}</t>
  </si>
  <si>
    <r>
      <rPr>
        <sz val="10"/>
        <rFont val="Noto Sans CJK SC"/>
        <family val="2"/>
      </rPr>
      <t xml:space="preserve">レポート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件の全項目</t>
    </r>
  </si>
  <si>
    <t xml:space="preserve">「レスポンス項目案」の全項目</t>
  </si>
  <si>
    <t xml:space="preserve">/v1/facilities/{facility_id}/market-reports/latest</t>
  </si>
  <si>
    <t xml:space="preserve">最新のレポート</t>
  </si>
  <si>
    <t xml:space="preserve">同上</t>
  </si>
  <si>
    <t xml:space="preserve">Dolphin → Dolphin CREATE</t>
  </si>
  <si>
    <t xml:space="preserve">POST</t>
  </si>
  <si>
    <t xml:space="preserve">/webhooks/dolphin/market-report</t>
  </si>
  <si>
    <t xml:space="preserve">新しいレポートの通知（署名つき）</t>
  </si>
  <si>
    <r>
      <rPr>
        <sz val="10"/>
        <rFont val="Arial"/>
        <family val="0"/>
        <charset val="1"/>
      </rPr>
      <t xml:space="preserve">facility_id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report_id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event</t>
    </r>
  </si>
  <si>
    <r>
      <rPr>
        <sz val="10"/>
        <rFont val="Noto Sans CJK SC"/>
        <family val="2"/>
      </rPr>
      <t xml:space="preserve">受信確認（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）</t>
    </r>
  </si>
  <si>
    <r>
      <rPr>
        <b val="true"/>
        <sz val="14"/>
        <color rgb="FF12324A"/>
        <rFont val="Noto Sans CJK SC"/>
        <family val="2"/>
      </rPr>
      <t xml:space="preserve">レスポンス項目案（マーケットレポート</t>
    </r>
    <r>
      <rPr>
        <b val="true"/>
        <sz val="14"/>
        <color rgb="FF12324A"/>
        <rFont val="Arial"/>
        <family val="0"/>
        <charset val="1"/>
      </rPr>
      <t xml:space="preserve">1</t>
    </r>
    <r>
      <rPr>
        <b val="true"/>
        <sz val="14"/>
        <color rgb="FF12324A"/>
        <rFont val="Noto Sans CJK SC"/>
        <family val="2"/>
      </rPr>
      <t xml:space="preserve">件）</t>
    </r>
  </si>
  <si>
    <r>
      <rPr>
        <sz val="10"/>
        <color rgb="FF4F6879"/>
        <rFont val="Arial"/>
        <family val="0"/>
        <charset val="1"/>
      </rPr>
      <t xml:space="preserve">Dolphin CREATE </t>
    </r>
    <r>
      <rPr>
        <sz val="10"/>
        <color rgb="FF4F6879"/>
        <rFont val="Noto Sans CJK SC"/>
        <family val="2"/>
      </rPr>
      <t xml:space="preserve">で使いたい項目の案です。実際に</t>
    </r>
    <r>
      <rPr>
        <sz val="10"/>
        <color rgb="FF4F6879"/>
        <rFont val="Arial"/>
        <family val="0"/>
        <charset val="1"/>
      </rPr>
      <t xml:space="preserve">Dolphin</t>
    </r>
    <r>
      <rPr>
        <sz val="10"/>
        <color rgb="FF4F6879"/>
        <rFont val="Noto Sans CJK SC"/>
        <family val="2"/>
      </rPr>
      <t xml:space="preserve">が出せる項目に合わせて追加・削除してください。</t>
    </r>
  </si>
  <si>
    <t xml:space="preserve">項目名</t>
  </si>
  <si>
    <t xml:space="preserve">型</t>
  </si>
  <si>
    <r>
      <rPr>
        <b val="true"/>
        <sz val="10"/>
        <color rgb="FFFFFFFF"/>
        <rFont val="Arial"/>
        <family val="0"/>
        <charset val="1"/>
      </rPr>
      <t xml:space="preserve">Dolphin CREATE</t>
    </r>
    <r>
      <rPr>
        <b val="true"/>
        <sz val="10"/>
        <color rgb="FFFFFFFF"/>
        <rFont val="Noto Sans CJK SC"/>
        <family val="2"/>
      </rPr>
      <t xml:space="preserve">での使い道</t>
    </r>
  </si>
  <si>
    <r>
      <rPr>
        <b val="true"/>
        <sz val="10"/>
        <color rgb="FFFFFFFF"/>
        <rFont val="Arial"/>
        <family val="0"/>
        <charset val="1"/>
      </rPr>
      <t xml:space="preserve">Dolphin</t>
    </r>
    <r>
      <rPr>
        <b val="true"/>
        <sz val="10"/>
        <color rgb="FFFFFFFF"/>
        <rFont val="Noto Sans CJK SC"/>
        <family val="2"/>
      </rPr>
      <t xml:space="preserve">で出せるか</t>
    </r>
  </si>
  <si>
    <t xml:space="preserve">report_id</t>
  </si>
  <si>
    <t xml:space="preserve">文字列</t>
  </si>
  <si>
    <t xml:space="preserve">○</t>
  </si>
  <si>
    <r>
      <rPr>
        <sz val="10"/>
        <rFont val="Noto Sans CJK SC"/>
        <family val="2"/>
      </rPr>
      <t xml:space="preserve">レポート</t>
    </r>
    <r>
      <rPr>
        <sz val="10"/>
        <rFont val="Arial"/>
        <family val="0"/>
        <charset val="1"/>
      </rPr>
      <t xml:space="preserve">ID</t>
    </r>
  </si>
  <si>
    <t xml:space="preserve">MR-202609-001</t>
  </si>
  <si>
    <t xml:space="preserve">取込履歴・重複防止</t>
  </si>
  <si>
    <t xml:space="preserve">facility_id</t>
  </si>
  <si>
    <r>
      <rPr>
        <sz val="10"/>
        <rFont val="Noto Sans CJK SC"/>
        <family val="2"/>
      </rPr>
      <t xml:space="preserve">施設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Dolphin CREATE </t>
    </r>
    <r>
      <rPr>
        <sz val="10"/>
        <rFont val="Noto Sans CJK SC"/>
        <family val="2"/>
      </rPr>
      <t xml:space="preserve">と共通）</t>
    </r>
  </si>
  <si>
    <t xml:space="preserve">fac_A</t>
  </si>
  <si>
    <t xml:space="preserve">施設ごとのデータ分離</t>
  </si>
  <si>
    <t xml:space="preserve">period_start / period_end</t>
  </si>
  <si>
    <t xml:space="preserve">日付</t>
  </si>
  <si>
    <t xml:space="preserve">対象期間</t>
  </si>
  <si>
    <t xml:space="preserve">2026-09-01 / 2026-09-30</t>
  </si>
  <si>
    <t xml:space="preserve">期間の表示・前期比較</t>
  </si>
  <si>
    <t xml:space="preserve">created_at</t>
  </si>
  <si>
    <t xml:space="preserve">日時</t>
  </si>
  <si>
    <t xml:space="preserve">作成日時</t>
  </si>
  <si>
    <t xml:space="preserve">2026-10-05T10:00:00+09:00</t>
  </si>
  <si>
    <t xml:space="preserve">更新日時の表示</t>
  </si>
  <si>
    <t xml:space="preserve">version</t>
  </si>
  <si>
    <t xml:space="preserve">整数</t>
  </si>
  <si>
    <t xml:space="preserve">版番号（修正時に増える）</t>
  </si>
  <si>
    <t xml:space="preserve">2</t>
  </si>
  <si>
    <t xml:space="preserve">最新版の判定</t>
  </si>
  <si>
    <t xml:space="preserve">area</t>
  </si>
  <si>
    <t xml:space="preserve">対象商圏</t>
  </si>
  <si>
    <t xml:space="preserve">神奈川県・湘南エリア</t>
  </si>
  <si>
    <t xml:space="preserve">④の地域別分析と照合</t>
  </si>
  <si>
    <t xml:space="preserve">market_weddings</t>
  </si>
  <si>
    <t xml:space="preserve">商圏の挙式組数（推計）</t>
  </si>
  <si>
    <t xml:space="preserve">4200</t>
  </si>
  <si>
    <t xml:space="preserve">市場規模の把握</t>
  </si>
  <si>
    <t xml:space="preserve">avg_guests</t>
  </si>
  <si>
    <t xml:space="preserve">数値</t>
  </si>
  <si>
    <t xml:space="preserve">平均招待人数</t>
  </si>
  <si>
    <t xml:space="preserve">52.3</t>
  </si>
  <si>
    <t xml:space="preserve">少人数訴求の判断</t>
  </si>
  <si>
    <t xml:space="preserve">avg_spend_yen</t>
  </si>
  <si>
    <t xml:space="preserve">平均費用（円・税込）</t>
  </si>
  <si>
    <t xml:space="preserve">3450000</t>
  </si>
  <si>
    <t xml:space="preserve">価格訴求の判断</t>
  </si>
  <si>
    <t xml:space="preserve">price_bands[]</t>
  </si>
  <si>
    <t xml:space="preserve">配列</t>
  </si>
  <si>
    <r>
      <rPr>
        <sz val="10"/>
        <rFont val="Noto Sans CJK SC"/>
        <family val="2"/>
      </rPr>
      <t xml:space="preserve">価格帯ごとの構成比 </t>
    </r>
    <r>
      <rPr>
        <sz val="10"/>
        <rFont val="Arial"/>
        <family val="0"/>
        <charset val="1"/>
      </rPr>
      <t xml:space="preserve">{band, share}</t>
    </r>
  </si>
  <si>
    <r>
      <rPr>
        <sz val="10"/>
        <rFont val="Arial"/>
        <family val="0"/>
        <charset val="1"/>
      </rPr>
      <t xml:space="preserve">[{"band":"300-350</t>
    </r>
    <r>
      <rPr>
        <sz val="10"/>
        <rFont val="Noto Sans CJK SC"/>
        <family val="2"/>
      </rPr>
      <t xml:space="preserve">万</t>
    </r>
    <r>
      <rPr>
        <sz val="10"/>
        <rFont val="Arial"/>
        <family val="0"/>
        <charset val="1"/>
      </rPr>
      <t xml:space="preserve">","share":0.28}]</t>
    </r>
  </si>
  <si>
    <t xml:space="preserve">③の訴求の選定</t>
  </si>
  <si>
    <t xml:space="preserve">seasonal_demand[]</t>
  </si>
  <si>
    <r>
      <rPr>
        <sz val="10"/>
        <rFont val="Noto Sans CJK SC"/>
        <family val="2"/>
      </rPr>
      <t xml:space="preserve">月別の需要指数 </t>
    </r>
    <r>
      <rPr>
        <sz val="10"/>
        <rFont val="Arial"/>
        <family val="0"/>
        <charset val="1"/>
      </rPr>
      <t xml:space="preserve">{month, index}</t>
    </r>
  </si>
  <si>
    <t xml:space="preserve">[{"month":"2027-04","index":1.18}]</t>
  </si>
  <si>
    <t xml:space="preserve">④の日毎・月別の予算配分</t>
  </si>
  <si>
    <t xml:space="preserve">style_trends[]</t>
  </si>
  <si>
    <r>
      <rPr>
        <sz val="10"/>
        <rFont val="Noto Sans CJK SC"/>
        <family val="2"/>
      </rPr>
      <t xml:space="preserve">挙式スタイルの傾向 </t>
    </r>
    <r>
      <rPr>
        <sz val="10"/>
        <rFont val="Arial"/>
        <family val="0"/>
        <charset val="1"/>
      </rPr>
      <t xml:space="preserve">{style, share, change}</t>
    </r>
  </si>
  <si>
    <r>
      <rPr>
        <sz val="10"/>
        <rFont val="Arial"/>
        <family val="0"/>
        <charset val="1"/>
      </rPr>
      <t xml:space="preserve">[{"style":"</t>
    </r>
    <r>
      <rPr>
        <sz val="10"/>
        <rFont val="Noto Sans CJK SC"/>
        <family val="2"/>
      </rPr>
      <t xml:space="preserve">少人数</t>
    </r>
    <r>
      <rPr>
        <sz val="10"/>
        <rFont val="Arial"/>
        <family val="0"/>
        <charset val="1"/>
      </rPr>
      <t xml:space="preserve">","share":0.21,"change":0.03}]</t>
    </r>
  </si>
  <si>
    <t xml:space="preserve">②③の訴求テーマ</t>
  </si>
  <si>
    <t xml:space="preserve">competitors[]</t>
  </si>
  <si>
    <r>
      <rPr>
        <sz val="10"/>
        <rFont val="Noto Sans CJK SC"/>
        <family val="2"/>
      </rPr>
      <t xml:space="preserve">競合の情報 </t>
    </r>
    <r>
      <rPr>
        <sz val="10"/>
        <rFont val="Arial"/>
        <family val="0"/>
        <charset val="1"/>
      </rPr>
      <t xml:space="preserve">{name, hp_url, instagram_url, price_band, appeal_themes[]}</t>
    </r>
  </si>
  <si>
    <r>
      <rPr>
        <sz val="10"/>
        <rFont val="Arial"/>
        <family val="0"/>
        <charset val="1"/>
      </rPr>
      <t xml:space="preserve">[{"name":"</t>
    </r>
    <r>
      <rPr>
        <sz val="10"/>
        <rFont val="Noto Sans CJK SC"/>
        <family val="2"/>
      </rPr>
      <t xml:space="preserve">競合</t>
    </r>
    <r>
      <rPr>
        <sz val="10"/>
        <rFont val="Arial"/>
        <family val="0"/>
        <charset val="1"/>
      </rPr>
      <t xml:space="preserve">X","appeal_themes":["</t>
    </r>
    <r>
      <rPr>
        <sz val="10"/>
        <rFont val="Noto Sans CJK SC"/>
        <family val="2"/>
      </rPr>
      <t xml:space="preserve">特典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チャペル</t>
    </r>
    <r>
      <rPr>
        <sz val="10"/>
        <rFont val="Arial"/>
        <family val="0"/>
        <charset val="1"/>
      </rPr>
      <t xml:space="preserve">"]}]</t>
    </r>
  </si>
  <si>
    <r>
      <rPr>
        <sz val="10"/>
        <rFont val="Noto Sans CJK SC"/>
        <family val="2"/>
      </rPr>
      <t xml:space="preserve">③の競合</t>
    </r>
    <r>
      <rPr>
        <sz val="10"/>
        <rFont val="Arial"/>
        <family val="0"/>
        <charset val="1"/>
      </rPr>
      <t xml:space="preserve">Instagram</t>
    </r>
    <r>
      <rPr>
        <sz val="10"/>
        <rFont val="Noto Sans CJK SC"/>
        <family val="2"/>
      </rPr>
      <t xml:space="preserve">・差別化</t>
    </r>
  </si>
  <si>
    <t xml:space="preserve">insights[]</t>
  </si>
  <si>
    <r>
      <rPr>
        <sz val="10"/>
        <rFont val="Arial"/>
        <family val="0"/>
        <charset val="1"/>
      </rPr>
      <t xml:space="preserve">Dolphin</t>
    </r>
    <r>
      <rPr>
        <sz val="10"/>
        <rFont val="Noto Sans CJK SC"/>
        <family val="2"/>
      </rPr>
      <t xml:space="preserve">が抽出した要点 </t>
    </r>
    <r>
      <rPr>
        <sz val="10"/>
        <rFont val="Arial"/>
        <family val="0"/>
        <charset val="1"/>
      </rPr>
      <t xml:space="preserve">{text, basis, confidence}</t>
    </r>
  </si>
  <si>
    <r>
      <rPr>
        <sz val="10"/>
        <rFont val="Arial"/>
        <family val="0"/>
        <charset val="1"/>
      </rPr>
      <t xml:space="preserve">[{"text":"</t>
    </r>
    <r>
      <rPr>
        <sz val="10"/>
        <rFont val="Noto Sans CJK SC"/>
        <family val="2"/>
      </rPr>
      <t xml:space="preserve">春の少人数需要が増加</t>
    </r>
    <r>
      <rPr>
        <sz val="10"/>
        <rFont val="Arial"/>
        <family val="0"/>
        <charset val="1"/>
      </rPr>
      <t xml:space="preserve">","confidence":0.7}]</t>
    </r>
  </si>
  <si>
    <r>
      <rPr>
        <sz val="10"/>
        <rFont val="Noto Sans CJK SC"/>
        <family val="2"/>
      </rPr>
      <t xml:space="preserve">②の分析・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への入力</t>
    </r>
  </si>
  <si>
    <t xml:space="preserve">sample_size</t>
  </si>
  <si>
    <t xml:space="preserve">集計の母数</t>
  </si>
  <si>
    <t xml:space="preserve">128</t>
  </si>
  <si>
    <t xml:space="preserve">小標本の判定</t>
  </si>
  <si>
    <t xml:space="preserve">source</t>
  </si>
  <si>
    <t xml:space="preserve">データの出典</t>
  </si>
  <si>
    <t xml:space="preserve">自社調査＋公開統計</t>
  </si>
  <si>
    <t xml:space="preserve">根拠の表示</t>
  </si>
  <si>
    <t xml:space="preserve">notes</t>
  </si>
  <si>
    <t xml:space="preserve">注意点・前提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</si>
  <si>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月は台風の影響あり</t>
    </r>
  </si>
  <si>
    <t xml:space="preserve">偏りの注意</t>
  </si>
  <si>
    <r>
      <rPr>
        <sz val="10"/>
        <color rgb="FF4F6879"/>
        <rFont val="Arial"/>
        <family val="0"/>
        <charset val="1"/>
      </rPr>
      <t xml:space="preserve">Dolphin</t>
    </r>
    <r>
      <rPr>
        <sz val="10"/>
        <color rgb="FF4F6879"/>
        <rFont val="Noto Sans CJK SC"/>
        <family val="2"/>
      </rPr>
      <t xml:space="preserve">開発チーム・運営元に確認すること。担当・期限・回答を記入してください。</t>
    </r>
  </si>
  <si>
    <t xml:space="preserve">確認先</t>
  </si>
  <si>
    <t xml:space="preserve">確認内容</t>
  </si>
  <si>
    <t xml:space="preserve">担当</t>
  </si>
  <si>
    <t xml:space="preserve">期限</t>
  </si>
  <si>
    <t xml:space="preserve">回答・メモ</t>
  </si>
  <si>
    <r>
      <rPr>
        <sz val="10"/>
        <rFont val="Arial"/>
        <family val="0"/>
        <charset val="1"/>
      </rPr>
      <t xml:space="preserve">Dolphin</t>
    </r>
    <r>
      <rPr>
        <sz val="10"/>
        <rFont val="Noto Sans CJK SC"/>
        <family val="2"/>
      </rPr>
      <t xml:space="preserve">開発チーム</t>
    </r>
  </si>
  <si>
    <r>
      <rPr>
        <sz val="10"/>
        <rFont val="Noto Sans CJK SC"/>
        <family val="2"/>
      </rPr>
      <t xml:space="preserve">マーケットレポートを外部から取得する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があるか。なければ追加できるか、その時期</t>
    </r>
  </si>
  <si>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PDF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のどれで書き出せるか（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完成までの代替）</t>
    </r>
  </si>
  <si>
    <r>
      <rPr>
        <sz val="10"/>
        <rFont val="Arial"/>
        <family val="0"/>
        <charset val="1"/>
      </rPr>
      <t xml:space="preserve">Dolphin</t>
    </r>
    <r>
      <rPr>
        <sz val="10"/>
        <rFont val="Noto Sans CJK SC"/>
        <family val="2"/>
      </rPr>
      <t xml:space="preserve">運営元</t>
    </r>
  </si>
  <si>
    <r>
      <rPr>
        <sz val="10"/>
        <rFont val="Noto Sans CJK SC"/>
        <family val="2"/>
      </rPr>
      <t xml:space="preserve">レポートを </t>
    </r>
    <r>
      <rPr>
        <sz val="10"/>
        <rFont val="Arial"/>
        <family val="0"/>
        <charset val="1"/>
      </rPr>
      <t xml:space="preserve">Dolphin CREATE </t>
    </r>
    <r>
      <rPr>
        <sz val="10"/>
        <rFont val="Noto Sans CJK SC"/>
        <family val="2"/>
      </rPr>
      <t xml:space="preserve">で表示・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分析・広告制作に使ってよいか（利用条件）</t>
    </r>
  </si>
  <si>
    <t xml:space="preserve">レポートに入っている項目の一覧と定義（「レスポンス項目案」と照合）</t>
  </si>
  <si>
    <r>
      <rPr>
        <sz val="10"/>
        <rFont val="Noto Sans CJK SC"/>
        <family val="2"/>
      </rPr>
      <t xml:space="preserve">認証方式（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キー／</t>
    </r>
    <r>
      <rPr>
        <sz val="10"/>
        <rFont val="Arial"/>
        <family val="0"/>
        <charset val="1"/>
      </rPr>
      <t xml:space="preserve">OAuth</t>
    </r>
    <r>
      <rPr>
        <sz val="10"/>
        <rFont val="Noto Sans CJK SC"/>
        <family val="2"/>
      </rPr>
      <t xml:space="preserve">）と、施設ごとのキー発行の方法</t>
    </r>
  </si>
  <si>
    <r>
      <rPr>
        <sz val="10"/>
        <rFont val="Noto Sans CJK SC"/>
        <family val="2"/>
      </rPr>
      <t xml:space="preserve">レポートの更新頻度と、更新時の通知（</t>
    </r>
    <r>
      <rPr>
        <sz val="10"/>
        <rFont val="Arial"/>
        <family val="0"/>
        <charset val="1"/>
      </rPr>
      <t xml:space="preserve">Webhook</t>
    </r>
    <r>
      <rPr>
        <sz val="10"/>
        <rFont val="Noto Sans CJK SC"/>
        <family val="2"/>
      </rPr>
      <t xml:space="preserve">）が可能か</t>
    </r>
  </si>
  <si>
    <r>
      <rPr>
        <sz val="10"/>
        <rFont val="Noto Sans CJK SC"/>
        <family val="2"/>
      </rPr>
      <t xml:space="preserve">施設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を </t>
    </r>
    <r>
      <rPr>
        <sz val="10"/>
        <rFont val="Arial"/>
        <family val="0"/>
        <charset val="1"/>
      </rPr>
      <t xml:space="preserve">Dolphin CREATE </t>
    </r>
    <r>
      <rPr>
        <sz val="10"/>
        <rFont val="Noto Sans CJK SC"/>
        <family val="2"/>
      </rPr>
      <t xml:space="preserve">と共通にできるか（できない場合の対応表）</t>
    </r>
  </si>
  <si>
    <t xml:space="preserve">テスト環境とテスト用データを用意できるか</t>
  </si>
  <si>
    <t xml:space="preserve">利用回数の上限・障害時の連絡方法</t>
  </si>
  <si>
    <t xml:space="preserve">社内</t>
  </si>
  <si>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開発・利用の費用と、契約上の扱い</t>
    </r>
  </si>
  <si>
    <r>
      <rPr>
        <sz val="10"/>
        <rFont val="Arial"/>
        <family val="0"/>
        <charset val="1"/>
      </rPr>
      <t xml:space="preserve">Dolphin CREATE</t>
    </r>
    <r>
      <rPr>
        <sz val="10"/>
        <rFont val="Noto Sans CJK SC"/>
        <family val="2"/>
      </rPr>
      <t xml:space="preserve">担当</t>
    </r>
  </si>
  <si>
    <r>
      <rPr>
        <sz val="10"/>
        <rFont val="Noto Sans CJK SC"/>
        <family val="2"/>
      </rPr>
      <t xml:space="preserve">本番環境（サーバー・認証）の準備状況と、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接続を始める時期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</si>
</sst>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24A"/>
      <name val="Arial"/>
      <family val="0"/>
      <charset val="1"/>
    </font>
    <font>
      <b val="true"/>
      <sz val="14"/>
      <color rgb="FF12324A"/>
      <name val="Noto Sans CJK SC"/>
      <family val="2"/>
    </font>
    <font>
      <sz val="10"/>
      <color rgb="FF4F6879"/>
      <name val="Arial"/>
      <family val="0"/>
      <charset val="1"/>
    </font>
    <font>
      <sz val="10"/>
      <color rgb="FF4F6879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12324A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F3F7F9"/>
        <bgColor rgb="FFFFFFFF"/>
      </patternFill>
    </fill>
    <fill>
      <patternFill patternType="solid">
        <fgColor rgb="FF12324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DE"/>
      </left>
      <right style="thin">
        <color rgb="FFC9D6DE"/>
      </right>
      <top style="thin">
        <color rgb="FFC9D6DE"/>
      </top>
      <bottom style="thin">
        <color rgb="FFC9D6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B8"/>
      <rgbColor rgb="FFF3F7F9"/>
      <rgbColor rgb="FF660066"/>
      <rgbColor rgb="FFFF8080"/>
      <rgbColor rgb="FF0066CC"/>
      <rgbColor rgb="FFC9D6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6879"/>
      <rgbColor rgb="FF969696"/>
      <rgbColor rgb="FF1232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</row>
    <row r="5" customFormat="false" ht="31.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  <c r="G5" s="4"/>
      <c r="H5" s="4"/>
    </row>
    <row r="6" customFormat="false" ht="31.5" hidden="false" customHeight="true" outlineLevel="0" collapsed="false">
      <c r="A6" s="3" t="s">
        <v>6</v>
      </c>
      <c r="B6" s="5" t="s">
        <v>7</v>
      </c>
      <c r="C6" s="5"/>
      <c r="D6" s="5"/>
      <c r="E6" s="5"/>
      <c r="F6" s="5"/>
      <c r="G6" s="5"/>
      <c r="H6" s="5"/>
    </row>
    <row r="8" customFormat="false" ht="15" hidden="false" customHeight="false" outlineLevel="0" collapsed="false">
      <c r="A8" s="6" t="s">
        <v>8</v>
      </c>
    </row>
    <row r="9" customFormat="false" ht="15" hidden="false" customHeight="false" outlineLevel="0" collapsed="false">
      <c r="A9" s="7"/>
      <c r="B9" s="8" t="s">
        <v>9</v>
      </c>
    </row>
    <row r="10" customFormat="false" ht="15" hidden="false" customHeight="false" outlineLevel="0" collapsed="false">
      <c r="A10" s="9"/>
      <c r="B10" s="8" t="s">
        <v>10</v>
      </c>
    </row>
    <row r="11" customFormat="false" ht="15" hidden="false" customHeight="false" outlineLevel="0" collapsed="false">
      <c r="A11" s="8"/>
      <c r="B11" s="8"/>
    </row>
    <row r="12" customFormat="false" ht="15" hidden="false" customHeight="false" outlineLevel="0" collapsed="false">
      <c r="A12" s="8" t="s">
        <v>11</v>
      </c>
      <c r="B12" s="8"/>
    </row>
    <row r="13" customFormat="false" ht="15" hidden="false" customHeight="false" outlineLevel="0" collapsed="false">
      <c r="A13" s="10" t="s">
        <v>12</v>
      </c>
      <c r="B13" s="10"/>
    </row>
    <row r="14" customFormat="false" ht="15" hidden="false" customHeight="false" outlineLevel="0" collapsed="false">
      <c r="A14" s="10" t="s">
        <v>13</v>
      </c>
      <c r="B14" s="10"/>
    </row>
    <row r="15" customFormat="false" ht="15" hidden="false" customHeight="false" outlineLevel="0" collapsed="false">
      <c r="A15" s="10" t="s">
        <v>14</v>
      </c>
      <c r="B15" s="10"/>
    </row>
    <row r="16" customFormat="false" ht="15" hidden="false" customHeight="false" outlineLevel="0" collapsed="false">
      <c r="A16" s="10" t="s">
        <v>15</v>
      </c>
      <c r="B16" s="10"/>
    </row>
    <row r="17" customFormat="false" ht="15" hidden="false" customHeight="false" outlineLevel="0" collapsed="false">
      <c r="A17" s="10" t="s">
        <v>16</v>
      </c>
      <c r="B17" s="10"/>
    </row>
    <row r="19" customFormat="false" ht="15" hidden="false" customHeight="false" outlineLevel="0" collapsed="false">
      <c r="A19" s="6" t="s">
        <v>17</v>
      </c>
    </row>
    <row r="20" customFormat="false" ht="15" hidden="false" customHeight="false" outlineLevel="0" collapsed="false">
      <c r="A20" s="11" t="s">
        <v>18</v>
      </c>
      <c r="B20" s="11" t="s">
        <v>19</v>
      </c>
      <c r="C20" s="11" t="s">
        <v>20</v>
      </c>
      <c r="D20" s="11" t="s">
        <v>21</v>
      </c>
      <c r="E20" s="11" t="s">
        <v>22</v>
      </c>
      <c r="F20" s="11" t="s">
        <v>23</v>
      </c>
    </row>
    <row r="21" customFormat="false" ht="15" hidden="false" customHeight="false" outlineLevel="0" collapsed="false">
      <c r="A21" s="12" t="s">
        <v>24</v>
      </c>
      <c r="B21" s="12" t="n">
        <f aca="false">COUNTIF(API要件!$H:$H,"決定")</f>
        <v>0</v>
      </c>
      <c r="C21" s="12" t="n">
        <f aca="false">COUNTIF(API要件!$H:$H,"確認中")</f>
        <v>0</v>
      </c>
      <c r="D21" s="12" t="n">
        <f aca="false">COUNTIF(API要件!$H:$H,"未確認")</f>
        <v>21</v>
      </c>
      <c r="E21" s="12" t="n">
        <f aca="false">COUNTIF(API要件!$H:$H,"対象外")</f>
        <v>0</v>
      </c>
      <c r="F21" s="12" t="n">
        <f aca="false">SUM(B21:E21)</f>
        <v>21</v>
      </c>
    </row>
    <row r="22" customFormat="false" ht="15" hidden="false" customHeight="false" outlineLevel="0" collapsed="false">
      <c r="A22" s="13" t="s">
        <v>25</v>
      </c>
      <c r="B22" s="12" t="n">
        <f aca="false">COUNTIF(確認事項!$F:$F,"決定")</f>
        <v>0</v>
      </c>
      <c r="C22" s="12" t="n">
        <f aca="false">COUNTIF(確認事項!$F:$F,"確認中")</f>
        <v>0</v>
      </c>
      <c r="D22" s="12" t="n">
        <f aca="false">COUNTIF(確認事項!$F:$F,"未確認")</f>
        <v>11</v>
      </c>
      <c r="E22" s="12" t="n">
        <f aca="false">COUNTIF(確認事項!$F:$F,"対象外")</f>
        <v>0</v>
      </c>
      <c r="F22" s="12" t="n">
        <f aca="false">SUM(B22:E22)</f>
        <v>11</v>
      </c>
    </row>
  </sheetData>
  <mergeCells count="3">
    <mergeCell ref="B4:H4"/>
    <mergeCell ref="B5:H5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24"/>
  </cols>
  <sheetData>
    <row r="1" customFormat="false" ht="21.6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27.75" hidden="false" customHeight="true" outlineLevel="0" collapsed="false">
      <c r="A4" s="14" t="s">
        <v>28</v>
      </c>
      <c r="B4" s="15" t="s">
        <v>29</v>
      </c>
      <c r="C4" s="15" t="s">
        <v>30</v>
      </c>
      <c r="D4" s="15" t="s">
        <v>31</v>
      </c>
      <c r="E4" s="15" t="s">
        <v>32</v>
      </c>
      <c r="F4" s="15" t="s">
        <v>33</v>
      </c>
      <c r="G4" s="14" t="s">
        <v>34</v>
      </c>
      <c r="H4" s="15" t="s">
        <v>35</v>
      </c>
      <c r="I4" s="15" t="s">
        <v>36</v>
      </c>
    </row>
    <row r="5" customFormat="false" ht="29.85" hidden="false" customHeight="false" outlineLevel="0" collapsed="false">
      <c r="A5" s="16" t="n">
        <v>1</v>
      </c>
      <c r="B5" s="17" t="s">
        <v>37</v>
      </c>
      <c r="C5" s="17" t="s">
        <v>38</v>
      </c>
      <c r="D5" s="17" t="s">
        <v>39</v>
      </c>
      <c r="E5" s="17" t="s">
        <v>40</v>
      </c>
      <c r="F5" s="16" t="s">
        <v>41</v>
      </c>
      <c r="G5" s="18"/>
      <c r="H5" s="17" t="s">
        <v>21</v>
      </c>
      <c r="I5" s="18"/>
    </row>
    <row r="6" customFormat="false" ht="29.85" hidden="false" customHeight="false" outlineLevel="0" collapsed="false">
      <c r="A6" s="16" t="n">
        <v>2</v>
      </c>
      <c r="B6" s="17" t="s">
        <v>37</v>
      </c>
      <c r="C6" s="17" t="s">
        <v>42</v>
      </c>
      <c r="D6" s="17" t="s">
        <v>43</v>
      </c>
      <c r="E6" s="17" t="s">
        <v>40</v>
      </c>
      <c r="F6" s="16" t="s">
        <v>44</v>
      </c>
      <c r="G6" s="18"/>
      <c r="H6" s="17" t="s">
        <v>21</v>
      </c>
      <c r="I6" s="18"/>
    </row>
    <row r="7" customFormat="false" ht="29.85" hidden="false" customHeight="false" outlineLevel="0" collapsed="false">
      <c r="A7" s="16" t="n">
        <v>3</v>
      </c>
      <c r="B7" s="17" t="s">
        <v>37</v>
      </c>
      <c r="C7" s="17" t="s">
        <v>45</v>
      </c>
      <c r="D7" s="17" t="s">
        <v>46</v>
      </c>
      <c r="E7" s="17" t="s">
        <v>40</v>
      </c>
      <c r="F7" s="16" t="s">
        <v>47</v>
      </c>
      <c r="G7" s="18"/>
      <c r="H7" s="17" t="s">
        <v>21</v>
      </c>
      <c r="I7" s="18"/>
    </row>
    <row r="8" customFormat="false" ht="29.85" hidden="false" customHeight="false" outlineLevel="0" collapsed="false">
      <c r="A8" s="16" t="n">
        <v>4</v>
      </c>
      <c r="B8" s="17" t="s">
        <v>48</v>
      </c>
      <c r="C8" s="17" t="s">
        <v>49</v>
      </c>
      <c r="D8" s="17" t="s">
        <v>50</v>
      </c>
      <c r="E8" s="17" t="s">
        <v>40</v>
      </c>
      <c r="F8" s="16" t="s">
        <v>51</v>
      </c>
      <c r="G8" s="18"/>
      <c r="H8" s="17" t="s">
        <v>21</v>
      </c>
      <c r="I8" s="18"/>
    </row>
    <row r="9" customFormat="false" ht="15" hidden="false" customHeight="false" outlineLevel="0" collapsed="false">
      <c r="A9" s="16" t="n">
        <v>5</v>
      </c>
      <c r="B9" s="17" t="s">
        <v>48</v>
      </c>
      <c r="C9" s="17" t="s">
        <v>52</v>
      </c>
      <c r="D9" s="17" t="s">
        <v>53</v>
      </c>
      <c r="E9" s="17" t="s">
        <v>40</v>
      </c>
      <c r="F9" s="17" t="s">
        <v>54</v>
      </c>
      <c r="G9" s="18"/>
      <c r="H9" s="17" t="s">
        <v>21</v>
      </c>
      <c r="I9" s="18"/>
    </row>
    <row r="10" customFormat="false" ht="15" hidden="false" customHeight="false" outlineLevel="0" collapsed="false">
      <c r="A10" s="16" t="n">
        <v>6</v>
      </c>
      <c r="B10" s="17" t="s">
        <v>48</v>
      </c>
      <c r="C10" s="17" t="s">
        <v>55</v>
      </c>
      <c r="D10" s="16" t="s">
        <v>56</v>
      </c>
      <c r="E10" s="17" t="s">
        <v>40</v>
      </c>
      <c r="F10" s="16" t="s">
        <v>57</v>
      </c>
      <c r="G10" s="18"/>
      <c r="H10" s="17" t="s">
        <v>21</v>
      </c>
      <c r="I10" s="18"/>
    </row>
    <row r="11" customFormat="false" ht="15" hidden="false" customHeight="false" outlineLevel="0" collapsed="false">
      <c r="A11" s="16" t="n">
        <v>7</v>
      </c>
      <c r="B11" s="17" t="s">
        <v>58</v>
      </c>
      <c r="C11" s="17" t="s">
        <v>59</v>
      </c>
      <c r="D11" s="16" t="s">
        <v>60</v>
      </c>
      <c r="E11" s="17" t="s">
        <v>40</v>
      </c>
      <c r="F11" s="16" t="s">
        <v>61</v>
      </c>
      <c r="G11" s="18"/>
      <c r="H11" s="17" t="s">
        <v>21</v>
      </c>
      <c r="I11" s="18"/>
    </row>
    <row r="12" customFormat="false" ht="29.85" hidden="false" customHeight="false" outlineLevel="0" collapsed="false">
      <c r="A12" s="16" t="n">
        <v>8</v>
      </c>
      <c r="B12" s="17" t="s">
        <v>58</v>
      </c>
      <c r="C12" s="17" t="s">
        <v>62</v>
      </c>
      <c r="D12" s="17" t="s">
        <v>63</v>
      </c>
      <c r="E12" s="17" t="s">
        <v>40</v>
      </c>
      <c r="F12" s="16" t="s">
        <v>64</v>
      </c>
      <c r="G12" s="18"/>
      <c r="H12" s="17" t="s">
        <v>21</v>
      </c>
      <c r="I12" s="18"/>
    </row>
    <row r="13" customFormat="false" ht="29.85" hidden="false" customHeight="false" outlineLevel="0" collapsed="false">
      <c r="A13" s="16" t="n">
        <v>9</v>
      </c>
      <c r="B13" s="17" t="s">
        <v>65</v>
      </c>
      <c r="C13" s="17" t="s">
        <v>66</v>
      </c>
      <c r="D13" s="17" t="s">
        <v>67</v>
      </c>
      <c r="E13" s="17" t="s">
        <v>40</v>
      </c>
      <c r="F13" s="17" t="s">
        <v>68</v>
      </c>
      <c r="G13" s="18"/>
      <c r="H13" s="17" t="s">
        <v>21</v>
      </c>
      <c r="I13" s="18"/>
    </row>
    <row r="14" customFormat="false" ht="29.85" hidden="false" customHeight="false" outlineLevel="0" collapsed="false">
      <c r="A14" s="16" t="n">
        <v>10</v>
      </c>
      <c r="B14" s="17" t="s">
        <v>65</v>
      </c>
      <c r="C14" s="17" t="s">
        <v>69</v>
      </c>
      <c r="D14" s="17" t="s">
        <v>70</v>
      </c>
      <c r="E14" s="17" t="s">
        <v>40</v>
      </c>
      <c r="F14" s="16" t="s">
        <v>71</v>
      </c>
      <c r="G14" s="18"/>
      <c r="H14" s="17" t="s">
        <v>21</v>
      </c>
      <c r="I14" s="18"/>
    </row>
    <row r="15" customFormat="false" ht="15" hidden="false" customHeight="false" outlineLevel="0" collapsed="false">
      <c r="A15" s="16" t="n">
        <v>11</v>
      </c>
      <c r="B15" s="17" t="s">
        <v>65</v>
      </c>
      <c r="C15" s="17" t="s">
        <v>72</v>
      </c>
      <c r="D15" s="17" t="s">
        <v>73</v>
      </c>
      <c r="E15" s="17" t="s">
        <v>40</v>
      </c>
      <c r="F15" s="16" t="s">
        <v>74</v>
      </c>
      <c r="G15" s="18"/>
      <c r="H15" s="17" t="s">
        <v>21</v>
      </c>
      <c r="I15" s="18"/>
    </row>
    <row r="16" customFormat="false" ht="15" hidden="false" customHeight="false" outlineLevel="0" collapsed="false">
      <c r="A16" s="16" t="n">
        <v>12</v>
      </c>
      <c r="B16" s="17" t="s">
        <v>65</v>
      </c>
      <c r="C16" s="17" t="s">
        <v>75</v>
      </c>
      <c r="D16" s="17" t="s">
        <v>76</v>
      </c>
      <c r="E16" s="17" t="s">
        <v>40</v>
      </c>
      <c r="F16" s="16" t="s">
        <v>77</v>
      </c>
      <c r="G16" s="18"/>
      <c r="H16" s="17" t="s">
        <v>21</v>
      </c>
      <c r="I16" s="18"/>
    </row>
    <row r="17" customFormat="false" ht="29.85" hidden="false" customHeight="false" outlineLevel="0" collapsed="false">
      <c r="A17" s="16" t="n">
        <v>13</v>
      </c>
      <c r="B17" s="17" t="s">
        <v>78</v>
      </c>
      <c r="C17" s="16" t="s">
        <v>79</v>
      </c>
      <c r="D17" s="17" t="s">
        <v>80</v>
      </c>
      <c r="E17" s="17" t="s">
        <v>81</v>
      </c>
      <c r="F17" s="16" t="s">
        <v>82</v>
      </c>
      <c r="G17" s="18"/>
      <c r="H17" s="17" t="s">
        <v>21</v>
      </c>
      <c r="I17" s="18"/>
    </row>
    <row r="18" customFormat="false" ht="15" hidden="false" customHeight="false" outlineLevel="0" collapsed="false">
      <c r="A18" s="16" t="n">
        <v>14</v>
      </c>
      <c r="B18" s="17" t="s">
        <v>78</v>
      </c>
      <c r="C18" s="17" t="s">
        <v>83</v>
      </c>
      <c r="D18" s="17" t="s">
        <v>84</v>
      </c>
      <c r="E18" s="17" t="s">
        <v>40</v>
      </c>
      <c r="F18" s="17" t="s">
        <v>85</v>
      </c>
      <c r="G18" s="18"/>
      <c r="H18" s="17" t="s">
        <v>21</v>
      </c>
      <c r="I18" s="18"/>
    </row>
    <row r="19" customFormat="false" ht="15" hidden="false" customHeight="false" outlineLevel="0" collapsed="false">
      <c r="A19" s="16" t="n">
        <v>15</v>
      </c>
      <c r="B19" s="17" t="s">
        <v>86</v>
      </c>
      <c r="C19" s="17" t="s">
        <v>87</v>
      </c>
      <c r="D19" s="16" t="s">
        <v>88</v>
      </c>
      <c r="E19" s="17" t="s">
        <v>40</v>
      </c>
      <c r="F19" s="16" t="s">
        <v>89</v>
      </c>
      <c r="G19" s="18"/>
      <c r="H19" s="17" t="s">
        <v>21</v>
      </c>
      <c r="I19" s="18"/>
    </row>
    <row r="20" customFormat="false" ht="29.85" hidden="false" customHeight="false" outlineLevel="0" collapsed="false">
      <c r="A20" s="16" t="n">
        <v>16</v>
      </c>
      <c r="B20" s="17" t="s">
        <v>86</v>
      </c>
      <c r="C20" s="17" t="s">
        <v>90</v>
      </c>
      <c r="D20" s="16" t="s">
        <v>91</v>
      </c>
      <c r="E20" s="17" t="s">
        <v>40</v>
      </c>
      <c r="F20" s="16" t="s">
        <v>92</v>
      </c>
      <c r="G20" s="18"/>
      <c r="H20" s="17" t="s">
        <v>21</v>
      </c>
      <c r="I20" s="18"/>
    </row>
    <row r="21" customFormat="false" ht="15" hidden="false" customHeight="false" outlineLevel="0" collapsed="false">
      <c r="A21" s="16" t="n">
        <v>17</v>
      </c>
      <c r="B21" s="17" t="s">
        <v>86</v>
      </c>
      <c r="C21" s="16" t="s">
        <v>93</v>
      </c>
      <c r="D21" s="16" t="s">
        <v>94</v>
      </c>
      <c r="E21" s="17" t="s">
        <v>40</v>
      </c>
      <c r="F21" s="16" t="s">
        <v>95</v>
      </c>
      <c r="G21" s="18"/>
      <c r="H21" s="17" t="s">
        <v>21</v>
      </c>
      <c r="I21" s="18"/>
    </row>
    <row r="22" customFormat="false" ht="15" hidden="false" customHeight="false" outlineLevel="0" collapsed="false">
      <c r="A22" s="16" t="n">
        <v>18</v>
      </c>
      <c r="B22" s="17" t="s">
        <v>86</v>
      </c>
      <c r="C22" s="17" t="s">
        <v>96</v>
      </c>
      <c r="D22" s="17" t="s">
        <v>97</v>
      </c>
      <c r="E22" s="17" t="s">
        <v>81</v>
      </c>
      <c r="F22" s="16" t="s">
        <v>98</v>
      </c>
      <c r="G22" s="18"/>
      <c r="H22" s="17" t="s">
        <v>21</v>
      </c>
      <c r="I22" s="18"/>
    </row>
    <row r="23" customFormat="false" ht="15" hidden="false" customHeight="false" outlineLevel="0" collapsed="false">
      <c r="A23" s="16" t="n">
        <v>19</v>
      </c>
      <c r="B23" s="17" t="s">
        <v>86</v>
      </c>
      <c r="C23" s="17" t="s">
        <v>99</v>
      </c>
      <c r="D23" s="17" t="s">
        <v>100</v>
      </c>
      <c r="E23" s="17" t="s">
        <v>81</v>
      </c>
      <c r="F23" s="16" t="s">
        <v>77</v>
      </c>
      <c r="G23" s="18"/>
      <c r="H23" s="17" t="s">
        <v>21</v>
      </c>
      <c r="I23" s="18"/>
    </row>
    <row r="24" customFormat="false" ht="29.85" hidden="false" customHeight="false" outlineLevel="0" collapsed="false">
      <c r="A24" s="16" t="n">
        <v>20</v>
      </c>
      <c r="B24" s="17" t="s">
        <v>101</v>
      </c>
      <c r="C24" s="17" t="s">
        <v>102</v>
      </c>
      <c r="D24" s="17" t="s">
        <v>103</v>
      </c>
      <c r="E24" s="17" t="s">
        <v>40</v>
      </c>
      <c r="F24" s="16" t="s">
        <v>77</v>
      </c>
      <c r="G24" s="18"/>
      <c r="H24" s="17" t="s">
        <v>21</v>
      </c>
      <c r="I24" s="18"/>
    </row>
    <row r="25" customFormat="false" ht="15" hidden="false" customHeight="false" outlineLevel="0" collapsed="false">
      <c r="A25" s="16" t="n">
        <v>21</v>
      </c>
      <c r="B25" s="17" t="s">
        <v>101</v>
      </c>
      <c r="C25" s="17" t="s">
        <v>104</v>
      </c>
      <c r="D25" s="17" t="s">
        <v>105</v>
      </c>
      <c r="E25" s="17" t="s">
        <v>40</v>
      </c>
      <c r="F25" s="17" t="s">
        <v>106</v>
      </c>
      <c r="G25" s="18"/>
      <c r="H25" s="17" t="s">
        <v>21</v>
      </c>
      <c r="I25" s="18"/>
    </row>
  </sheetData>
  <dataValidations count="1">
    <dataValidation allowBlank="true" errorStyle="stop" operator="between" showDropDown="false" showErrorMessage="false" showInputMessage="false" sqref="H5:H25" type="list">
      <formula1>"未確認,確認中,決定,対象外"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44"/>
    <col collapsed="false" customWidth="true" hidden="false" outlineLevel="0" max="8" min="5" style="0" width="30"/>
  </cols>
  <sheetData>
    <row r="1" customFormat="false" ht="17.35" hidden="false" customHeight="false" outlineLevel="0" collapsed="false">
      <c r="A1" s="19" t="s">
        <v>107</v>
      </c>
    </row>
    <row r="2" customFormat="false" ht="15" hidden="false" customHeight="false" outlineLevel="0" collapsed="false">
      <c r="A2" s="2" t="s">
        <v>108</v>
      </c>
    </row>
    <row r="4" customFormat="false" ht="27.75" hidden="false" customHeight="true" outlineLevel="0" collapsed="false">
      <c r="A4" s="14" t="s">
        <v>28</v>
      </c>
      <c r="B4" s="15" t="s">
        <v>109</v>
      </c>
      <c r="C4" s="15" t="s">
        <v>110</v>
      </c>
      <c r="D4" s="15" t="s">
        <v>111</v>
      </c>
      <c r="E4" s="15" t="s">
        <v>112</v>
      </c>
      <c r="F4" s="15" t="s">
        <v>113</v>
      </c>
      <c r="G4" s="15" t="s">
        <v>114</v>
      </c>
      <c r="H4" s="14" t="s">
        <v>34</v>
      </c>
    </row>
    <row r="5" customFormat="false" ht="23.85" hidden="false" customHeight="false" outlineLevel="0" collapsed="false">
      <c r="A5" s="16" t="n">
        <v>1</v>
      </c>
      <c r="B5" s="16" t="s">
        <v>115</v>
      </c>
      <c r="C5" s="16" t="s">
        <v>116</v>
      </c>
      <c r="D5" s="16" t="s">
        <v>117</v>
      </c>
      <c r="E5" s="16" t="s">
        <v>118</v>
      </c>
      <c r="F5" s="16" t="s">
        <v>77</v>
      </c>
      <c r="G5" s="16" t="s">
        <v>119</v>
      </c>
      <c r="H5" s="18"/>
    </row>
    <row r="6" customFormat="false" ht="26.85" hidden="false" customHeight="false" outlineLevel="0" collapsed="false">
      <c r="A6" s="16" t="n">
        <v>2</v>
      </c>
      <c r="B6" s="16" t="s">
        <v>115</v>
      </c>
      <c r="C6" s="16" t="s">
        <v>116</v>
      </c>
      <c r="D6" s="16" t="s">
        <v>120</v>
      </c>
      <c r="E6" s="17" t="s">
        <v>121</v>
      </c>
      <c r="F6" s="16" t="s">
        <v>122</v>
      </c>
      <c r="G6" s="16" t="s">
        <v>123</v>
      </c>
      <c r="H6" s="18"/>
    </row>
    <row r="7" customFormat="false" ht="23.85" hidden="false" customHeight="false" outlineLevel="0" collapsed="false">
      <c r="A7" s="16" t="n">
        <v>3</v>
      </c>
      <c r="B7" s="16" t="s">
        <v>115</v>
      </c>
      <c r="C7" s="16" t="s">
        <v>116</v>
      </c>
      <c r="D7" s="16" t="s">
        <v>124</v>
      </c>
      <c r="E7" s="17" t="s">
        <v>125</v>
      </c>
      <c r="F7" s="16" t="s">
        <v>77</v>
      </c>
      <c r="G7" s="17" t="s">
        <v>126</v>
      </c>
      <c r="H7" s="18"/>
    </row>
    <row r="8" customFormat="false" ht="23.85" hidden="false" customHeight="false" outlineLevel="0" collapsed="false">
      <c r="A8" s="16" t="n">
        <v>4</v>
      </c>
      <c r="B8" s="16" t="s">
        <v>115</v>
      </c>
      <c r="C8" s="16" t="s">
        <v>116</v>
      </c>
      <c r="D8" s="16" t="s">
        <v>127</v>
      </c>
      <c r="E8" s="17" t="s">
        <v>128</v>
      </c>
      <c r="F8" s="16" t="s">
        <v>77</v>
      </c>
      <c r="G8" s="17" t="s">
        <v>129</v>
      </c>
      <c r="H8" s="18"/>
    </row>
    <row r="9" customFormat="false" ht="23.85" hidden="false" customHeight="false" outlineLevel="0" collapsed="false">
      <c r="A9" s="16" t="n">
        <v>5</v>
      </c>
      <c r="B9" s="16" t="s">
        <v>130</v>
      </c>
      <c r="C9" s="16" t="s">
        <v>131</v>
      </c>
      <c r="D9" s="16" t="s">
        <v>132</v>
      </c>
      <c r="E9" s="17" t="s">
        <v>133</v>
      </c>
      <c r="F9" s="16" t="s">
        <v>134</v>
      </c>
      <c r="G9" s="17" t="s">
        <v>135</v>
      </c>
      <c r="H9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8" min="8" style="0" width="16"/>
  </cols>
  <sheetData>
    <row r="1" customFormat="false" ht="21.6" hidden="false" customHeight="false" outlineLevel="0" collapsed="false">
      <c r="A1" s="19" t="s">
        <v>136</v>
      </c>
    </row>
    <row r="2" customFormat="false" ht="15" hidden="false" customHeight="false" outlineLevel="0" collapsed="false">
      <c r="A2" s="2" t="s">
        <v>137</v>
      </c>
    </row>
    <row r="4" customFormat="false" ht="27.75" hidden="false" customHeight="true" outlineLevel="0" collapsed="false">
      <c r="A4" s="14" t="s">
        <v>28</v>
      </c>
      <c r="B4" s="15" t="s">
        <v>138</v>
      </c>
      <c r="C4" s="15" t="s">
        <v>139</v>
      </c>
      <c r="D4" s="15" t="s">
        <v>40</v>
      </c>
      <c r="E4" s="15" t="s">
        <v>112</v>
      </c>
      <c r="F4" s="15" t="s">
        <v>33</v>
      </c>
      <c r="G4" s="14" t="s">
        <v>140</v>
      </c>
      <c r="H4" s="14" t="s">
        <v>141</v>
      </c>
    </row>
    <row r="5" customFormat="false" ht="15" hidden="false" customHeight="false" outlineLevel="0" collapsed="false">
      <c r="A5" s="16" t="n">
        <v>1</v>
      </c>
      <c r="B5" s="16" t="s">
        <v>142</v>
      </c>
      <c r="C5" s="17" t="s">
        <v>143</v>
      </c>
      <c r="D5" s="16" t="s">
        <v>144</v>
      </c>
      <c r="E5" s="17" t="s">
        <v>145</v>
      </c>
      <c r="F5" s="16" t="s">
        <v>146</v>
      </c>
      <c r="G5" s="17" t="s">
        <v>147</v>
      </c>
      <c r="H5" s="18"/>
    </row>
    <row r="6" customFormat="false" ht="15" hidden="false" customHeight="false" outlineLevel="0" collapsed="false">
      <c r="A6" s="16" t="n">
        <v>2</v>
      </c>
      <c r="B6" s="16" t="s">
        <v>148</v>
      </c>
      <c r="C6" s="17" t="s">
        <v>143</v>
      </c>
      <c r="D6" s="16" t="s">
        <v>144</v>
      </c>
      <c r="E6" s="17" t="s">
        <v>149</v>
      </c>
      <c r="F6" s="16" t="s">
        <v>150</v>
      </c>
      <c r="G6" s="17" t="s">
        <v>151</v>
      </c>
      <c r="H6" s="18"/>
    </row>
    <row r="7" customFormat="false" ht="15" hidden="false" customHeight="false" outlineLevel="0" collapsed="false">
      <c r="A7" s="16" t="n">
        <v>3</v>
      </c>
      <c r="B7" s="16" t="s">
        <v>152</v>
      </c>
      <c r="C7" s="17" t="s">
        <v>153</v>
      </c>
      <c r="D7" s="16" t="s">
        <v>144</v>
      </c>
      <c r="E7" s="17" t="s">
        <v>154</v>
      </c>
      <c r="F7" s="16" t="s">
        <v>155</v>
      </c>
      <c r="G7" s="17" t="s">
        <v>156</v>
      </c>
      <c r="H7" s="18"/>
    </row>
    <row r="8" customFormat="false" ht="15" hidden="false" customHeight="false" outlineLevel="0" collapsed="false">
      <c r="A8" s="16" t="n">
        <v>4</v>
      </c>
      <c r="B8" s="16" t="s">
        <v>157</v>
      </c>
      <c r="C8" s="17" t="s">
        <v>158</v>
      </c>
      <c r="D8" s="16" t="s">
        <v>144</v>
      </c>
      <c r="E8" s="17" t="s">
        <v>159</v>
      </c>
      <c r="F8" s="16" t="s">
        <v>160</v>
      </c>
      <c r="G8" s="17" t="s">
        <v>161</v>
      </c>
      <c r="H8" s="18"/>
    </row>
    <row r="9" customFormat="false" ht="15" hidden="false" customHeight="false" outlineLevel="0" collapsed="false">
      <c r="A9" s="16" t="n">
        <v>5</v>
      </c>
      <c r="B9" s="16" t="s">
        <v>162</v>
      </c>
      <c r="C9" s="17" t="s">
        <v>163</v>
      </c>
      <c r="D9" s="16" t="s">
        <v>144</v>
      </c>
      <c r="E9" s="17" t="s">
        <v>164</v>
      </c>
      <c r="F9" s="16" t="s">
        <v>165</v>
      </c>
      <c r="G9" s="17" t="s">
        <v>166</v>
      </c>
      <c r="H9" s="18"/>
    </row>
    <row r="10" customFormat="false" ht="15" hidden="false" customHeight="false" outlineLevel="0" collapsed="false">
      <c r="A10" s="16" t="n">
        <v>6</v>
      </c>
      <c r="B10" s="16" t="s">
        <v>167</v>
      </c>
      <c r="C10" s="17" t="s">
        <v>143</v>
      </c>
      <c r="D10" s="16" t="s">
        <v>144</v>
      </c>
      <c r="E10" s="17" t="s">
        <v>168</v>
      </c>
      <c r="F10" s="17" t="s">
        <v>169</v>
      </c>
      <c r="G10" s="17" t="s">
        <v>170</v>
      </c>
      <c r="H10" s="18"/>
    </row>
    <row r="11" customFormat="false" ht="15" hidden="false" customHeight="false" outlineLevel="0" collapsed="false">
      <c r="A11" s="16" t="n">
        <v>7</v>
      </c>
      <c r="B11" s="16" t="s">
        <v>171</v>
      </c>
      <c r="C11" s="17" t="s">
        <v>163</v>
      </c>
      <c r="D11" s="16"/>
      <c r="E11" s="17" t="s">
        <v>172</v>
      </c>
      <c r="F11" s="16" t="s">
        <v>173</v>
      </c>
      <c r="G11" s="17" t="s">
        <v>174</v>
      </c>
      <c r="H11" s="18"/>
    </row>
    <row r="12" customFormat="false" ht="15" hidden="false" customHeight="false" outlineLevel="0" collapsed="false">
      <c r="A12" s="16" t="n">
        <v>8</v>
      </c>
      <c r="B12" s="16" t="s">
        <v>175</v>
      </c>
      <c r="C12" s="17" t="s">
        <v>176</v>
      </c>
      <c r="D12" s="16"/>
      <c r="E12" s="17" t="s">
        <v>177</v>
      </c>
      <c r="F12" s="16" t="s">
        <v>178</v>
      </c>
      <c r="G12" s="17" t="s">
        <v>179</v>
      </c>
      <c r="H12" s="18"/>
    </row>
    <row r="13" customFormat="false" ht="15" hidden="false" customHeight="false" outlineLevel="0" collapsed="false">
      <c r="A13" s="16" t="n">
        <v>9</v>
      </c>
      <c r="B13" s="16" t="s">
        <v>180</v>
      </c>
      <c r="C13" s="17" t="s">
        <v>163</v>
      </c>
      <c r="D13" s="16"/>
      <c r="E13" s="17" t="s">
        <v>181</v>
      </c>
      <c r="F13" s="16" t="s">
        <v>182</v>
      </c>
      <c r="G13" s="17" t="s">
        <v>183</v>
      </c>
      <c r="H13" s="18"/>
    </row>
    <row r="14" customFormat="false" ht="15" hidden="false" customHeight="false" outlineLevel="0" collapsed="false">
      <c r="A14" s="16" t="n">
        <v>10</v>
      </c>
      <c r="B14" s="16" t="s">
        <v>184</v>
      </c>
      <c r="C14" s="17" t="s">
        <v>185</v>
      </c>
      <c r="D14" s="16"/>
      <c r="E14" s="17" t="s">
        <v>186</v>
      </c>
      <c r="F14" s="16" t="s">
        <v>187</v>
      </c>
      <c r="G14" s="17" t="s">
        <v>188</v>
      </c>
      <c r="H14" s="18"/>
    </row>
    <row r="15" customFormat="false" ht="15" hidden="false" customHeight="false" outlineLevel="0" collapsed="false">
      <c r="A15" s="16" t="n">
        <v>11</v>
      </c>
      <c r="B15" s="16" t="s">
        <v>189</v>
      </c>
      <c r="C15" s="17" t="s">
        <v>185</v>
      </c>
      <c r="D15" s="16"/>
      <c r="E15" s="17" t="s">
        <v>190</v>
      </c>
      <c r="F15" s="16" t="s">
        <v>191</v>
      </c>
      <c r="G15" s="17" t="s">
        <v>192</v>
      </c>
      <c r="H15" s="18"/>
    </row>
    <row r="16" customFormat="false" ht="29.85" hidden="false" customHeight="false" outlineLevel="0" collapsed="false">
      <c r="A16" s="16" t="n">
        <v>12</v>
      </c>
      <c r="B16" s="16" t="s">
        <v>193</v>
      </c>
      <c r="C16" s="17" t="s">
        <v>185</v>
      </c>
      <c r="D16" s="16"/>
      <c r="E16" s="17" t="s">
        <v>194</v>
      </c>
      <c r="F16" s="16" t="s">
        <v>195</v>
      </c>
      <c r="G16" s="17" t="s">
        <v>196</v>
      </c>
      <c r="H16" s="18"/>
    </row>
    <row r="17" customFormat="false" ht="29.85" hidden="false" customHeight="false" outlineLevel="0" collapsed="false">
      <c r="A17" s="16" t="n">
        <v>13</v>
      </c>
      <c r="B17" s="16" t="s">
        <v>197</v>
      </c>
      <c r="C17" s="17" t="s">
        <v>185</v>
      </c>
      <c r="D17" s="16"/>
      <c r="E17" s="17" t="s">
        <v>198</v>
      </c>
      <c r="F17" s="16" t="s">
        <v>199</v>
      </c>
      <c r="G17" s="17" t="s">
        <v>200</v>
      </c>
      <c r="H17" s="18"/>
    </row>
    <row r="18" customFormat="false" ht="29.85" hidden="false" customHeight="false" outlineLevel="0" collapsed="false">
      <c r="A18" s="16" t="n">
        <v>14</v>
      </c>
      <c r="B18" s="16" t="s">
        <v>201</v>
      </c>
      <c r="C18" s="17" t="s">
        <v>185</v>
      </c>
      <c r="D18" s="16"/>
      <c r="E18" s="16" t="s">
        <v>202</v>
      </c>
      <c r="F18" s="16" t="s">
        <v>203</v>
      </c>
      <c r="G18" s="17" t="s">
        <v>204</v>
      </c>
      <c r="H18" s="18"/>
    </row>
    <row r="19" customFormat="false" ht="15" hidden="false" customHeight="false" outlineLevel="0" collapsed="false">
      <c r="A19" s="16" t="n">
        <v>15</v>
      </c>
      <c r="B19" s="16" t="s">
        <v>205</v>
      </c>
      <c r="C19" s="17" t="s">
        <v>163</v>
      </c>
      <c r="D19" s="16" t="s">
        <v>144</v>
      </c>
      <c r="E19" s="17" t="s">
        <v>206</v>
      </c>
      <c r="F19" s="16" t="s">
        <v>207</v>
      </c>
      <c r="G19" s="17" t="s">
        <v>208</v>
      </c>
      <c r="H19" s="18"/>
    </row>
    <row r="20" customFormat="false" ht="15" hidden="false" customHeight="false" outlineLevel="0" collapsed="false">
      <c r="A20" s="16" t="n">
        <v>16</v>
      </c>
      <c r="B20" s="16" t="s">
        <v>209</v>
      </c>
      <c r="C20" s="17" t="s">
        <v>143</v>
      </c>
      <c r="D20" s="16" t="s">
        <v>144</v>
      </c>
      <c r="E20" s="17" t="s">
        <v>210</v>
      </c>
      <c r="F20" s="17" t="s">
        <v>211</v>
      </c>
      <c r="G20" s="17" t="s">
        <v>212</v>
      </c>
      <c r="H20" s="18"/>
    </row>
    <row r="21" customFormat="false" ht="15" hidden="false" customHeight="false" outlineLevel="0" collapsed="false">
      <c r="A21" s="16" t="n">
        <v>17</v>
      </c>
      <c r="B21" s="16" t="s">
        <v>213</v>
      </c>
      <c r="C21" s="17" t="s">
        <v>143</v>
      </c>
      <c r="D21" s="16"/>
      <c r="E21" s="17" t="s">
        <v>214</v>
      </c>
      <c r="F21" s="16" t="s">
        <v>215</v>
      </c>
      <c r="G21" s="17" t="s">
        <v>216</v>
      </c>
      <c r="H21" s="18"/>
    </row>
  </sheetData>
  <dataValidations count="1">
    <dataValidation allowBlank="true" errorStyle="stop" operator="between" showDropDown="false" showErrorMessage="false" showInputMessage="false" sqref="H5:H21" type="list">
      <formula1>"出せる,一部出せる,出せない,要相談"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9" t="s">
        <v>25</v>
      </c>
    </row>
    <row r="2" customFormat="false" ht="15" hidden="false" customHeight="false" outlineLevel="0" collapsed="false">
      <c r="A2" s="2" t="s">
        <v>217</v>
      </c>
    </row>
    <row r="4" customFormat="false" ht="27.75" hidden="false" customHeight="true" outlineLevel="0" collapsed="false">
      <c r="A4" s="14" t="s">
        <v>28</v>
      </c>
      <c r="B4" s="15" t="s">
        <v>218</v>
      </c>
      <c r="C4" s="15" t="s">
        <v>219</v>
      </c>
      <c r="D4" s="15" t="s">
        <v>220</v>
      </c>
      <c r="E4" s="15" t="s">
        <v>221</v>
      </c>
      <c r="F4" s="15" t="s">
        <v>35</v>
      </c>
      <c r="G4" s="15" t="s">
        <v>222</v>
      </c>
    </row>
    <row r="5" customFormat="false" ht="29.85" hidden="false" customHeight="false" outlineLevel="0" collapsed="false">
      <c r="A5" s="16" t="n">
        <v>1</v>
      </c>
      <c r="B5" s="16" t="s">
        <v>223</v>
      </c>
      <c r="C5" s="17" t="s">
        <v>224</v>
      </c>
      <c r="D5" s="18"/>
      <c r="E5" s="20"/>
      <c r="F5" s="17" t="s">
        <v>21</v>
      </c>
      <c r="G5" s="18"/>
    </row>
    <row r="6" customFormat="false" ht="29.85" hidden="false" customHeight="false" outlineLevel="0" collapsed="false">
      <c r="A6" s="16" t="n">
        <v>2</v>
      </c>
      <c r="B6" s="16" t="s">
        <v>223</v>
      </c>
      <c r="C6" s="16" t="s">
        <v>225</v>
      </c>
      <c r="D6" s="18"/>
      <c r="E6" s="20"/>
      <c r="F6" s="17" t="s">
        <v>21</v>
      </c>
      <c r="G6" s="18"/>
    </row>
    <row r="7" customFormat="false" ht="29.85" hidden="false" customHeight="false" outlineLevel="0" collapsed="false">
      <c r="A7" s="16" t="n">
        <v>3</v>
      </c>
      <c r="B7" s="16" t="s">
        <v>226</v>
      </c>
      <c r="C7" s="17" t="s">
        <v>227</v>
      </c>
      <c r="D7" s="18"/>
      <c r="E7" s="20"/>
      <c r="F7" s="17" t="s">
        <v>21</v>
      </c>
      <c r="G7" s="18"/>
    </row>
    <row r="8" customFormat="false" ht="29.85" hidden="false" customHeight="false" outlineLevel="0" collapsed="false">
      <c r="A8" s="16" t="n">
        <v>4</v>
      </c>
      <c r="B8" s="16" t="s">
        <v>223</v>
      </c>
      <c r="C8" s="17" t="s">
        <v>228</v>
      </c>
      <c r="D8" s="18"/>
      <c r="E8" s="20"/>
      <c r="F8" s="17" t="s">
        <v>21</v>
      </c>
      <c r="G8" s="18"/>
    </row>
    <row r="9" customFormat="false" ht="15" hidden="false" customHeight="false" outlineLevel="0" collapsed="false">
      <c r="A9" s="16" t="n">
        <v>5</v>
      </c>
      <c r="B9" s="16" t="s">
        <v>223</v>
      </c>
      <c r="C9" s="17" t="s">
        <v>229</v>
      </c>
      <c r="D9" s="18"/>
      <c r="E9" s="20"/>
      <c r="F9" s="17" t="s">
        <v>21</v>
      </c>
      <c r="G9" s="18"/>
    </row>
    <row r="10" customFormat="false" ht="15" hidden="false" customHeight="false" outlineLevel="0" collapsed="false">
      <c r="A10" s="16" t="n">
        <v>6</v>
      </c>
      <c r="B10" s="16" t="s">
        <v>223</v>
      </c>
      <c r="C10" s="17" t="s">
        <v>230</v>
      </c>
      <c r="D10" s="18"/>
      <c r="E10" s="20"/>
      <c r="F10" s="17" t="s">
        <v>21</v>
      </c>
      <c r="G10" s="18"/>
    </row>
    <row r="11" customFormat="false" ht="29.85" hidden="false" customHeight="false" outlineLevel="0" collapsed="false">
      <c r="A11" s="16" t="n">
        <v>7</v>
      </c>
      <c r="B11" s="16" t="s">
        <v>223</v>
      </c>
      <c r="C11" s="17" t="s">
        <v>231</v>
      </c>
      <c r="D11" s="18"/>
      <c r="E11" s="20"/>
      <c r="F11" s="17" t="s">
        <v>21</v>
      </c>
      <c r="G11" s="18"/>
    </row>
    <row r="12" customFormat="false" ht="15" hidden="false" customHeight="false" outlineLevel="0" collapsed="false">
      <c r="A12" s="16" t="n">
        <v>8</v>
      </c>
      <c r="B12" s="16" t="s">
        <v>223</v>
      </c>
      <c r="C12" s="17" t="s">
        <v>232</v>
      </c>
      <c r="D12" s="18"/>
      <c r="E12" s="20"/>
      <c r="F12" s="17" t="s">
        <v>21</v>
      </c>
      <c r="G12" s="18"/>
    </row>
    <row r="13" customFormat="false" ht="15" hidden="false" customHeight="false" outlineLevel="0" collapsed="false">
      <c r="A13" s="16" t="n">
        <v>9</v>
      </c>
      <c r="B13" s="16" t="s">
        <v>223</v>
      </c>
      <c r="C13" s="17" t="s">
        <v>233</v>
      </c>
      <c r="D13" s="18"/>
      <c r="E13" s="20"/>
      <c r="F13" s="17" t="s">
        <v>21</v>
      </c>
      <c r="G13" s="18"/>
    </row>
    <row r="14" customFormat="false" ht="15" hidden="false" customHeight="false" outlineLevel="0" collapsed="false">
      <c r="A14" s="16" t="n">
        <v>10</v>
      </c>
      <c r="B14" s="17" t="s">
        <v>234</v>
      </c>
      <c r="C14" s="16" t="s">
        <v>235</v>
      </c>
      <c r="D14" s="18"/>
      <c r="E14" s="20"/>
      <c r="F14" s="17" t="s">
        <v>21</v>
      </c>
      <c r="G14" s="18"/>
    </row>
    <row r="15" customFormat="false" ht="29.85" hidden="false" customHeight="false" outlineLevel="0" collapsed="false">
      <c r="A15" s="16" t="n">
        <v>11</v>
      </c>
      <c r="B15" s="16" t="s">
        <v>236</v>
      </c>
      <c r="C15" s="17" t="s">
        <v>237</v>
      </c>
      <c r="D15" s="18"/>
      <c r="E15" s="20"/>
      <c r="F15" s="17" t="s">
        <v>21</v>
      </c>
      <c r="G15" s="18"/>
    </row>
  </sheetData>
  <dataValidations count="1">
    <dataValidation allowBlank="true" errorStyle="stop" operator="between" showDropDown="false" showErrorMessage="false" showInputMessage="false" sqref="F5:F15" type="list">
      <formula1>"未確認,確認中,決定,対象外"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2026-10-05T15:43:03Z</dcterms:created>
  <dc:creator>openpyxl</dc:creator>
  <dc:description/>
  <dc:language>en-US</dc:language>
  <cp:lastModifiedBy/>
  <dcterms:modified xsi:type="dcterms:W3CDTF">2026-10-05T15:43:03Z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